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Login" sheetId="2" r:id="rId6"/>
    <sheet state="visible" name="Inventory" sheetId="3" r:id="rId7"/>
    <sheet state="visible" name="Sorting" sheetId="4" r:id="rId8"/>
    <sheet state="visible" name="Product Details" sheetId="5" r:id="rId9"/>
    <sheet state="visible" name="Add-Remove" sheetId="6" r:id="rId10"/>
    <sheet state="visible" name="Cart" sheetId="7" r:id="rId11"/>
    <sheet state="visible" name="Checkout Info" sheetId="8" r:id="rId12"/>
    <sheet state="visible" name="Checkout Overview" sheetId="9" r:id="rId13"/>
    <sheet state="visible" name="Menu-Logout" sheetId="10" r:id="rId14"/>
    <sheet state="visible" name="Bug Report" sheetId="11" r:id="rId15"/>
    <sheet state="visible" name="Screenshots" sheetId="12" r:id="rId16"/>
  </sheets>
  <definedNames/>
  <calcPr/>
</workbook>
</file>

<file path=xl/sharedStrings.xml><?xml version="1.0" encoding="utf-8"?>
<sst xmlns="http://schemas.openxmlformats.org/spreadsheetml/2006/main" count="599" uniqueCount="333">
  <si>
    <t>TS-03 - Sorting</t>
  </si>
  <si>
    <t>TS-02 - Inventory page</t>
  </si>
  <si>
    <t>TS-01 - Login</t>
  </si>
  <si>
    <t>Swag Labs (problem_user) - Test Report</t>
  </si>
  <si>
    <t>Test Scenario ID</t>
  </si>
  <si>
    <t>Test Scenario</t>
  </si>
  <si>
    <t>Test Case ID</t>
  </si>
  <si>
    <t>Test Case</t>
  </si>
  <si>
    <t>Steps</t>
  </si>
  <si>
    <t>Precondition</t>
  </si>
  <si>
    <t>Expected Result</t>
  </si>
  <si>
    <t>Actual Result</t>
  </si>
  <si>
    <t>Status</t>
  </si>
  <si>
    <t>TS-03</t>
  </si>
  <si>
    <t>Team Name</t>
  </si>
  <si>
    <t>Sorting</t>
  </si>
  <si>
    <t>TC-12</t>
  </si>
  <si>
    <t>Sort Name (A to Z)</t>
  </si>
  <si>
    <t>1. Login as problem_user
2. Choose Name (A to Z)</t>
  </si>
  <si>
    <t>Logged in</t>
  </si>
  <si>
    <t>Products ordered A to Z</t>
  </si>
  <si>
    <t>Order did not change</t>
  </si>
  <si>
    <t>Fail</t>
  </si>
  <si>
    <t>TC-13</t>
  </si>
  <si>
    <t>Sort Name (Z to A)</t>
  </si>
  <si>
    <t>TS-01</t>
  </si>
  <si>
    <t>1. Login as problem_user
2. Choose Name (Z to A)</t>
  </si>
  <si>
    <t>Products ordered Z to A</t>
  </si>
  <si>
    <t>Login</t>
  </si>
  <si>
    <t>One tab per scenario. Click a scenario name to jump to its tab.</t>
  </si>
  <si>
    <t>TC-01</t>
  </si>
  <si>
    <t>TC-14</t>
  </si>
  <si>
    <t>TS-02</t>
  </si>
  <si>
    <t>Login with valid username and password</t>
  </si>
  <si>
    <t>Sort Price (low to high)</t>
  </si>
  <si>
    <t>1. Open saucedemo.com
2. Username: problem_user
3. Password: secret_sauce
4. Click Login</t>
  </si>
  <si>
    <t>1. Login as problem_user
2. Choose Price (low to high)</t>
  </si>
  <si>
    <t>Site is open</t>
  </si>
  <si>
    <t>User logs in and Inventory page opens</t>
  </si>
  <si>
    <t>Products ordered by price ascending</t>
  </si>
  <si>
    <t>Logged in successfully</t>
  </si>
  <si>
    <t>Pass</t>
  </si>
  <si>
    <t>Inventory page</t>
  </si>
  <si>
    <t>Mohamed Abo_elsoud</t>
  </si>
  <si>
    <t>TC-15</t>
  </si>
  <si>
    <t>TC-08</t>
  </si>
  <si>
    <t>TC-02</t>
  </si>
  <si>
    <t>Sort Price (high to low)</t>
  </si>
  <si>
    <t>Each product shows its own image</t>
  </si>
  <si>
    <t>Login with valid username and wrong password</t>
  </si>
  <si>
    <t>1. Login as problem_user
2. Choose Price (high to low)</t>
  </si>
  <si>
    <t>1. Login as problem_user
2. View all products on Inventory page</t>
  </si>
  <si>
    <t>1. Username: problem_user
2. Password: wrong123
3. Click Login</t>
  </si>
  <si>
    <t>TL</t>
  </si>
  <si>
    <t>Error: Username and password do not match any user</t>
  </si>
  <si>
    <t>Every product shows its own correct image</t>
  </si>
  <si>
    <t>Login was refused</t>
  </si>
  <si>
    <t>All products show the same dog image</t>
  </si>
  <si>
    <t>Products ordered by price descending</t>
  </si>
  <si>
    <t>TC-03</t>
  </si>
  <si>
    <t>TC-09</t>
  </si>
  <si>
    <t>Login with empty username and password</t>
  </si>
  <si>
    <t>Product names and prices are displayed</t>
  </si>
  <si>
    <t>1. Leave both fields empty
2. Click Login</t>
  </si>
  <si>
    <t>1. Login as problem_user
2. Check name and price of each product</t>
  </si>
  <si>
    <t>Ahmed Salama</t>
  </si>
  <si>
    <t>Error: Username is required</t>
  </si>
  <si>
    <t>6 products with correct names and prices</t>
  </si>
  <si>
    <t>Error shown: Epic sadface: Username is required</t>
  </si>
  <si>
    <t>All 6 products show correct names and prices (Backpack 29.99, Bike Light 9.99, Bolt T-Shirt 15.99, Fleece Jacket 49.99, Onesie 7.99, Test.allTheThings() T-Shirt Red 15.99). Images are wrong - see BUG-001</t>
  </si>
  <si>
    <t>#</t>
  </si>
  <si>
    <t>TC-04</t>
  </si>
  <si>
    <t>Scenario</t>
  </si>
  <si>
    <t>Login with username only (empty password)</t>
  </si>
  <si>
    <t>TC-10</t>
  </si>
  <si>
    <t>1. Username: problem_user
2. Leave password empty
3. Click Login</t>
  </si>
  <si>
    <t>Open product details from product name</t>
  </si>
  <si>
    <t>1. Login as problem_user
2. Click a product name</t>
  </si>
  <si>
    <t>Test Cases</t>
  </si>
  <si>
    <t>Error: Password is required</t>
  </si>
  <si>
    <t>Error shown: Password is required</t>
  </si>
  <si>
    <t>Product details page opens with matching name, price, image</t>
  </si>
  <si>
    <t>Clicking product name opens a different, unrelated product (wrong name, price and image) e.g. Backpack ($29.99) link opened Fleece Jacket ($49.99)</t>
  </si>
  <si>
    <t>Blocked</t>
  </si>
  <si>
    <t>TC-11</t>
  </si>
  <si>
    <t>TC-05</t>
  </si>
  <si>
    <t>Open product details from product image</t>
  </si>
  <si>
    <t>Login with password only (empty username)</t>
  </si>
  <si>
    <t>Not Run</t>
  </si>
  <si>
    <t>1. Login as problem_user
2. Click a product image</t>
  </si>
  <si>
    <t>1. Leave username empty
2. Password: secret_sauce
3. Click Login</t>
  </si>
  <si>
    <t>Mohamed Ali</t>
  </si>
  <si>
    <t>Product details page opens with matching product</t>
  </si>
  <si>
    <t>Error shown: Username is required</t>
  </si>
  <si>
    <t>Same wrong-product bug as clicking the name - clicking the image also opens an unrelated product</t>
  </si>
  <si>
    <t>TC-06</t>
  </si>
  <si>
    <t>Login with invalid username and valid password</t>
  </si>
  <si>
    <t>1. Username: abc_user
2. Password: secret_sauce
3. Click Login</t>
  </si>
  <si>
    <t>Error shown: Username and password do not match any user in this service</t>
  </si>
  <si>
    <t>TC-07</t>
  </si>
  <si>
    <t>Username is case sensitive</t>
  </si>
  <si>
    <t>1. Username: PROBLEM_USER
2. Password: secret_sauce
3. Click Login</t>
  </si>
  <si>
    <t>Login refused with mismatch error</t>
  </si>
  <si>
    <t>Login refused: Username and password do not match any user in this service (username is case sensitive)</t>
  </si>
  <si>
    <t>Ahmed Abdelaziz</t>
  </si>
  <si>
    <t>Rowaida Ashraf</t>
  </si>
  <si>
    <t>Menna Osama</t>
  </si>
  <si>
    <t>TS-04 - Add / Remove (Inventory)</t>
  </si>
  <si>
    <t>TS-05 - Product details</t>
  </si>
  <si>
    <t>TS-06 - Cart</t>
  </si>
  <si>
    <t>TS-07 - Checkout - Your Information</t>
  </si>
  <si>
    <t>TS-08 - Checkout - Overview / Complete</t>
  </si>
  <si>
    <t>TS-09 - Menu / Logout</t>
  </si>
  <si>
    <t>Total</t>
  </si>
  <si>
    <t>Total bugs</t>
  </si>
  <si>
    <t>Go to Bug Report</t>
  </si>
  <si>
    <t>Go to Screenshots</t>
  </si>
  <si>
    <t>TS-05</t>
  </si>
  <si>
    <t>Product details</t>
  </si>
  <si>
    <t>TC-20</t>
  </si>
  <si>
    <t>Add to cart from product details page</t>
  </si>
  <si>
    <t>1. Login as problem_user
2. Open a product
3. Click Add to cart</t>
  </si>
  <si>
    <t>Product added and badge increases</t>
  </si>
  <si>
    <t>Works only for products that failed from Inventory page; fails for the others</t>
  </si>
  <si>
    <t>TC-21</t>
  </si>
  <si>
    <t>Add/Remove state is consistent between Inventory and details</t>
  </si>
  <si>
    <t>1. Login as problem_user
2. Compare button state of a product on Inventory vs its details page</t>
  </si>
  <si>
    <t>Same state in both pages</t>
  </si>
  <si>
    <t>State is reversed between the two pages</t>
  </si>
  <si>
    <t>TC-22</t>
  </si>
  <si>
    <t>Back to products button</t>
  </si>
  <si>
    <t>1. Login as problem_user
2. Open a product
3. Click Back to products</t>
  </si>
  <si>
    <t>Returns to Inventory page</t>
  </si>
  <si>
    <t>Back to products button worked correctly, returned to Inventory page</t>
  </si>
  <si>
    <t>TS-04</t>
  </si>
  <si>
    <t>TS-06</t>
  </si>
  <si>
    <t>Add / Remove (Inventory)</t>
  </si>
  <si>
    <t>Cart</t>
  </si>
  <si>
    <t>TC-16</t>
  </si>
  <si>
    <t>TC-23</t>
  </si>
  <si>
    <t>Remove product from inside the cart</t>
  </si>
  <si>
    <t>1. Login as problem_user
2. Add a product
3. Open cart
4. Click Remove</t>
  </si>
  <si>
    <t>Add to cart for products 1 and 2 and 5 from Inventory</t>
  </si>
  <si>
    <t>Product in cart</t>
  </si>
  <si>
    <t>Product removed and badge decreases</t>
  </si>
  <si>
    <t>Remove works from the cart</t>
  </si>
  <si>
    <t>TC-24</t>
  </si>
  <si>
    <t>Cart shows correct products, quantity and price</t>
  </si>
  <si>
    <t>1. Login as problem_user
2. Add products
3. Open cart</t>
  </si>
  <si>
    <t>Products added</t>
  </si>
  <si>
    <t>Names, quantity and prices match</t>
  </si>
  <si>
    <t>Cart shows correct product name and price matching what was added</t>
  </si>
  <si>
    <t>1. Login as problem_user
2. Click Add to cart on products 1 and 2 and 5</t>
  </si>
  <si>
    <t>Cart badge increases and button changes to Remove</t>
  </si>
  <si>
    <t>TC-25</t>
  </si>
  <si>
    <t>Continue Shopping button</t>
  </si>
  <si>
    <t>Badge increased and button changed from Add to cart to Remove for product 1 and 2 and 5</t>
  </si>
  <si>
    <t>1. Open cart
2. Click Continue Shopping</t>
  </si>
  <si>
    <t>Continue Shopping button worked correctly, returned to Inventory page</t>
  </si>
  <si>
    <t>TC-26</t>
  </si>
  <si>
    <t>Checkout with empty cart</t>
  </si>
  <si>
    <t>1. Login as problem_user
2. Open cart without products
3. Click Checkout</t>
  </si>
  <si>
    <t>Cart is empty</t>
  </si>
  <si>
    <t>Checkout should be blocked or warn user</t>
  </si>
  <si>
    <t>Checkout was not blocked; clicking Checkout with an empty cart opened the Your Information page with no warning</t>
  </si>
  <si>
    <t>TC-17</t>
  </si>
  <si>
    <t>Add to cart for products 3, 4 from Inventory</t>
  </si>
  <si>
    <t xml:space="preserve">1. Login as problem_user
2. Click Add to cart on products 3, 4 </t>
  </si>
  <si>
    <t>Each product is added and badge increases</t>
  </si>
  <si>
    <t>Button did not respond, badge did not increase</t>
  </si>
  <si>
    <t>TC-18</t>
  </si>
  <si>
    <t>Add to cart for product 6 from Inventory</t>
  </si>
  <si>
    <t>1. Login as problem_user
2. Click Add to cart on product 6</t>
  </si>
  <si>
    <t>Add to cart button on product 6 did not respond; cart badge stayed at 1 (same behaviour as products 3,4/ BUG-004)</t>
  </si>
  <si>
    <t>TC-19</t>
  </si>
  <si>
    <t>Remove product from Inventory page after adding</t>
  </si>
  <si>
    <t>1. Login as problem_user
2. Add a product
3. Try to Remove it from Inventory page</t>
  </si>
  <si>
    <t>Product added</t>
  </si>
  <si>
    <t>Button shows Remove and removes the product, badge decreases</t>
  </si>
  <si>
    <t>No Remove button worked on Inventory page; clicking Remove did not remove the product (same issue as BUG-003)</t>
  </si>
  <si>
    <t>TS-07</t>
  </si>
  <si>
    <t>Checkout - Your Information</t>
  </si>
  <si>
    <t>TC-27</t>
  </si>
  <si>
    <t>Enter first name</t>
  </si>
  <si>
    <t>1. Open Checkout
2. Type a name in First Name</t>
  </si>
  <si>
    <t>First Name accepts the text</t>
  </si>
  <si>
    <t>First Name field accepts typed text</t>
  </si>
  <si>
    <t>TC-28</t>
  </si>
  <si>
    <t>Enter last name</t>
  </si>
  <si>
    <t>1. Open Checkout
2. Type a name in Last Name</t>
  </si>
  <si>
    <t>Last Name accepts the text</t>
  </si>
  <si>
    <t>Last Name does not accept any input</t>
  </si>
  <si>
    <t>TC-29</t>
  </si>
  <si>
    <t>Enter first name then last name</t>
  </si>
  <si>
    <t>1. Type Ahmed in First Name
2. Type Salama in Last Name</t>
  </si>
  <si>
    <t>Each value stays in its own field</t>
  </si>
  <si>
    <t>Salama moved into First Name, Ahmed erased, Last Name empty</t>
  </si>
  <si>
    <t>TC-30</t>
  </si>
  <si>
    <t>Enter zip / postal code</t>
  </si>
  <si>
    <t>1. Type 44629 in Zip/Postal Code</t>
  </si>
  <si>
    <t>Zip accepts the value</t>
  </si>
  <si>
    <t>Accepted the value</t>
  </si>
  <si>
    <t>TC-31</t>
  </si>
  <si>
    <t>Continue with all valid data</t>
  </si>
  <si>
    <t>1. Fill First Name, Last Name, Zip
2. Click Continue</t>
  </si>
  <si>
    <t>TS-08</t>
  </si>
  <si>
    <t>Overview page opens</t>
  </si>
  <si>
    <t>Error: Last Name is required; cannot continue</t>
  </si>
  <si>
    <t>TC-32</t>
  </si>
  <si>
    <t>Continue with all fields empty</t>
  </si>
  <si>
    <t>1. Leave all fields empty
2. Click Continue</t>
  </si>
  <si>
    <t>Error: First Name is required</t>
  </si>
  <si>
    <t>Error shown: First Name is required</t>
  </si>
  <si>
    <t>TC-33</t>
  </si>
  <si>
    <t>Continue with First Name empty</t>
  </si>
  <si>
    <t>1. Fill Last Name and Zip only
2. Click Continue</t>
  </si>
  <si>
    <t>Could not type into Last Name field (text jumped to First Name - BUG-006); Continue showed 'Last Name is required', not the expected 'First Name is required' since First Name ended up filled</t>
  </si>
  <si>
    <t>TC-34</t>
  </si>
  <si>
    <t>Continue with Last Name empty</t>
  </si>
  <si>
    <t>Checkout - Overview / Complete</t>
  </si>
  <si>
    <t>1. Fill First Name and Zip only
2. Click Continue</t>
  </si>
  <si>
    <t>Error: Last Name is required</t>
  </si>
  <si>
    <t>Error shown even when Last Name could not be typed</t>
  </si>
  <si>
    <t>TC-35</t>
  </si>
  <si>
    <t>Continue with Zip empty</t>
  </si>
  <si>
    <t>1. Fill First Name and Last Name only
2. Click Continue</t>
  </si>
  <si>
    <t>Error: Postal Code is required</t>
  </si>
  <si>
    <t>Error shown was 'Last Name is required' instead of 'Postal Code is required', because Last Name cannot be filled (BUG-006) and is validated before Zip</t>
  </si>
  <si>
    <t>TC-38</t>
  </si>
  <si>
    <t>TC-36</t>
  </si>
  <si>
    <t>Letters in Zip field</t>
  </si>
  <si>
    <t>1. Type abc in Zip
2. Click Continue</t>
  </si>
  <si>
    <t>Should be rejected (invalid postal code)</t>
  </si>
  <si>
    <t>Zip validation could not be verified: after typing abcd in Zip, Continue showed 'Last Name is required' (BUG-006 blocks reaching the zip check)</t>
  </si>
  <si>
    <t>Overview shows items, price and tax</t>
  </si>
  <si>
    <t>1. Reach Overview page
2. Check items, subtotal, tax, total</t>
  </si>
  <si>
    <t>Info step passed</t>
  </si>
  <si>
    <t>TC-37</t>
  </si>
  <si>
    <t>Values are correct</t>
  </si>
  <si>
    <t>Cancel button on Your Information page</t>
  </si>
  <si>
    <t>Not reachable (blocked by BUG-006)</t>
  </si>
  <si>
    <t>1. Click Cancel</t>
  </si>
  <si>
    <t>Returns to cart</t>
  </si>
  <si>
    <t>Cancel returned to the Cart page</t>
  </si>
  <si>
    <t>TC-39</t>
  </si>
  <si>
    <t>Finish order</t>
  </si>
  <si>
    <t>1. Click Finish on Overview</t>
  </si>
  <si>
    <t>On Overview page</t>
  </si>
  <si>
    <t>Thank you for your order page</t>
  </si>
  <si>
    <t>Bug Report</t>
  </si>
  <si>
    <t>Bug ID</t>
  </si>
  <si>
    <t>TS-09</t>
  </si>
  <si>
    <t>Menu / Logout</t>
  </si>
  <si>
    <t>Title</t>
  </si>
  <si>
    <t>TC-40</t>
  </si>
  <si>
    <t>Environment</t>
  </si>
  <si>
    <t>Logout from menu</t>
  </si>
  <si>
    <t>1. Login as problem_user
2. Open menu
3. Click Logout</t>
  </si>
  <si>
    <t>Steps to Reproduce</t>
  </si>
  <si>
    <t>Returns to Login page</t>
  </si>
  <si>
    <t>Logout worked, returned to the Login page</t>
  </si>
  <si>
    <t>Severity</t>
  </si>
  <si>
    <t>Priority</t>
  </si>
  <si>
    <t>TC-41</t>
  </si>
  <si>
    <t>Open Inventory page without login</t>
  </si>
  <si>
    <t>1. Open saucedemo.com/inventory.html directly</t>
  </si>
  <si>
    <t>Related Test Case</t>
  </si>
  <si>
    <t>Not logged in</t>
  </si>
  <si>
    <t>Error: You can only access this page when logged in</t>
  </si>
  <si>
    <t>Screenshot</t>
  </si>
  <si>
    <t>Error shown: Epic sadface: You can only access '/inventory.html' when you are logged in</t>
  </si>
  <si>
    <t>BUG-001</t>
  </si>
  <si>
    <t>All product images show the same dog picture</t>
  </si>
  <si>
    <t>Mobile, Chrome, saucedemo.com, user: problem_user</t>
  </si>
  <si>
    <t>1. Login with problem_user / secret_sauce
2. View Inventory page</t>
  </si>
  <si>
    <t>All products show one dog image</t>
  </si>
  <si>
    <t>High</t>
  </si>
  <si>
    <t>New</t>
  </si>
  <si>
    <t>See Screenshots tab (#3, #5)</t>
  </si>
  <si>
    <t>BUG-002</t>
  </si>
  <si>
    <t>Sort does not change product order</t>
  </si>
  <si>
    <t>1. Login
2. Open Sort dropdown
3. Choose each option (A-Z, Z-A, Low-High, High-Low)</t>
  </si>
  <si>
    <t>Order changes according to the selected option</t>
  </si>
  <si>
    <t>Order stays the same in all four options</t>
  </si>
  <si>
    <t>Medium</t>
  </si>
  <si>
    <t>TC-12 to TC-15</t>
  </si>
  <si>
    <t>Attach screenshot</t>
  </si>
  <si>
    <t>BUG-003</t>
  </si>
  <si>
    <t>Remove button does not work on Inventory page (product can only be removed from Cart page</t>
  </si>
  <si>
    <t>1. Login
2. Click Add to cart on a product in Inventory
3. Try to remove it from Inventory / details page</t>
  </si>
  <si>
    <t>Button becomes Remove and removes the product</t>
  </si>
  <si>
    <t>Badge increases but button stays Add to cart; product can only be removed from the cart page</t>
  </si>
  <si>
    <t>BUG-004</t>
  </si>
  <si>
    <t>Add to cart does not work for products 3, 4 and 6 on Inventory page</t>
  </si>
  <si>
    <t>1. Login
2. Click Add to cart on products 3, 4, 6</t>
  </si>
  <si>
    <t>Remove button does nothing; product stays in cart and badge does not decrease. Product can only be removed from the Cart page</t>
  </si>
  <si>
    <t>TC-17, TC-18</t>
  </si>
  <si>
    <t>BUG-005</t>
  </si>
  <si>
    <t>Add to cart state is reversed between Inventory and product details page</t>
  </si>
  <si>
    <t>1. Login
2. Try Add to cart for a product on Inventory
3. Open its details page and try again</t>
  </si>
  <si>
    <t>Same behaviour in both pages</t>
  </si>
  <si>
    <t>A product that works from Inventory fails from details page, and the opposite</t>
  </si>
  <si>
    <t>TC-20, TC-21</t>
  </si>
  <si>
    <t>BUG-006</t>
  </si>
  <si>
    <t>Last Name field does not accept input; typed value goes to First Name and Checkout is blocked</t>
  </si>
  <si>
    <t>1. Add a product and open Checkout
2. Type Ahmed in First Name
3. Type Salama in Last Name
4. Type zip and click Continue</t>
  </si>
  <si>
    <t>Each value stays in its own field and checkout continues</t>
  </si>
  <si>
    <t>Salama appears in First Name, Ahmed is erased, Last Name stays empty; error 'Last Name is required'; checkout cannot be completed</t>
  </si>
  <si>
    <t>TC-28, TC-29, TC-31, TC-34</t>
  </si>
  <si>
    <t>See Screenshots tab (#6)</t>
  </si>
  <si>
    <t>BUG-007</t>
  </si>
  <si>
    <t>Clicking a product name or image opens a different, unrelated product</t>
  </si>
  <si>
    <t>1. Login with problem_user / secret_sauce
2. On Inventory page click the name or image of Sauce Labs Backpack</t>
  </si>
  <si>
    <t>Product details page of the same product (Backpack, $29.99) opens</t>
  </si>
  <si>
    <t>A different product opens (Sauce Labs Fleece Jacket, $49.99) with its own name, price and image. Same result when clicking the name or the image</t>
  </si>
  <si>
    <t>TC-10, TC-11</t>
  </si>
  <si>
    <t>See Screenshots tab (#4)</t>
  </si>
  <si>
    <t>BUG-008</t>
  </si>
  <si>
    <t>Checkout allowed with an empty cart (no block or warning)</t>
  </si>
  <si>
    <t>1. Login with problem_user / secret_sauce
2. Open cart and remove all products
3. Click Checkout</t>
  </si>
  <si>
    <t>Checkout should be blocked or a warning shown since the cart is empty</t>
  </si>
  <si>
    <t>Your Information page opens normally with no warning, allowing checkout with zero items</t>
  </si>
  <si>
    <t>Low</t>
  </si>
  <si>
    <t>Screenshots</t>
  </si>
  <si>
    <t>#1 - TC-03: login with empty fields shows the username error</t>
  </si>
  <si>
    <t>#2 - TC-06: invalid username shows the "do not match any user" error</t>
  </si>
  <si>
    <t>#3 - BUG-001: Backpack shows a dog image on the Inventory page</t>
  </si>
  <si>
    <t>#4 - BUG-007: opening the Backpack leads to the Fleece Jacket page ($49.99)</t>
  </si>
  <si>
    <t>#5 - BUG-001 / TC-09: all 6 products show the same dog image, names and prices are correct</t>
  </si>
  <si>
    <t>#6 - BUG-006: Last Name stays empty, the typed value goes into the first field</t>
  </si>
  <si>
    <t>#7 - TC-32: Continue with empty fields shows "First Name is required"</t>
  </si>
  <si>
    <t>#8 - TC-37: Cancel returns to the Cart page</t>
  </si>
  <si>
    <t>#9 - TC-41: opening /inventory.html without login is 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</si>
</sst>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5.0"/>
      <color rgb="FF17365D"/>
      <name val="Calibri"/>
    </font>
    <font/>
    <font>
      <b/>
      <sz val="20.0"/>
      <color rgb="FF17365D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i/>
      <sz val="10.0"/>
      <color rgb="FF595959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1.0"/>
      <color theme="1"/>
      <name val="Calibri"/>
    </font>
    <font>
      <b/>
      <sz val="11.0"/>
      <color rgb="FF1E7B34"/>
      <name val="Calibri"/>
    </font>
    <font>
      <b/>
      <sz val="11.0"/>
      <color rgb="FF9C0006"/>
      <name val="Calibri"/>
    </font>
    <font>
      <b/>
      <sz val="11.0"/>
      <color rgb="FF9C5700"/>
      <name val="Calibri"/>
    </font>
    <font>
      <b/>
      <sz val="11.0"/>
      <color rgb="FF595959"/>
      <name val="Calibri"/>
    </font>
    <font>
      <u/>
      <sz val="10.0"/>
      <color rgb="FF0563C1"/>
      <name val="Calibri"/>
    </font>
    <font>
      <b/>
      <sz val="15.0"/>
      <color rgb="FF7F0000"/>
      <name val="Calibri"/>
    </font>
    <font>
      <b/>
      <sz val="15.0"/>
      <color rgb="FF3F1F5F"/>
      <name val="Calibri"/>
    </font>
    <font>
      <b/>
      <sz val="10.0"/>
      <color rgb="FF3F1F5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CE6F1"/>
        <bgColor rgb="FFDCE6F1"/>
      </patternFill>
    </fill>
    <fill>
      <patternFill patternType="solid">
        <fgColor rgb="FF2E5090"/>
        <bgColor rgb="FF2E509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E4ECF5"/>
        <bgColor rgb="FFE4ECF5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1A8"/>
        <bgColor rgb="FFFFE1A8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DE9E7"/>
        <bgColor rgb="FFFDE9E7"/>
      </patternFill>
    </fill>
    <fill>
      <patternFill patternType="solid">
        <fgColor rgb="FF9C1C1C"/>
        <bgColor rgb="FF9C1C1C"/>
      </patternFill>
    </fill>
    <fill>
      <patternFill patternType="solid">
        <fgColor rgb="FFEADCF4"/>
        <bgColor rgb="FFEADCF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readingOrder="0"/>
    </xf>
    <xf borderId="0" fillId="0" fontId="8" numFmtId="0" xfId="0" applyAlignment="1" applyFont="1">
      <alignment shrinkToFit="0" vertical="bottom" wrapText="0"/>
    </xf>
    <xf borderId="5" fillId="0" fontId="7" numFmtId="0" xfId="0" applyAlignment="1" applyBorder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4" fillId="4" fontId="5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shrinkToFit="0" vertical="center" wrapText="0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shrinkToFit="0" vertical="center" wrapText="0"/>
    </xf>
    <xf borderId="4" fillId="2" fontId="5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ill="1" applyFont="1">
      <alignment shrinkToFit="0" vertical="center" wrapText="0"/>
    </xf>
    <xf borderId="4" fillId="8" fontId="5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ill="1" applyFont="1">
      <alignment shrinkToFit="0" vertical="center" wrapText="0"/>
    </xf>
    <xf borderId="5" fillId="0" fontId="7" numFmtId="0" xfId="0" applyBorder="1" applyFont="1"/>
    <xf borderId="4" fillId="9" fontId="5" numFmtId="0" xfId="0" applyAlignment="1" applyBorder="1" applyFill="1" applyFont="1">
      <alignment horizontal="center" shrinkToFit="0" vertical="center" wrapText="1"/>
    </xf>
    <xf borderId="4" fillId="9" fontId="13" numFmtId="0" xfId="0" applyAlignment="1" applyBorder="1" applyFill="1" applyFont="1">
      <alignment shrinkToFit="0" vertical="center" wrapText="0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ill="1" applyFont="1">
      <alignment shrinkToFit="0" vertical="center" wrapText="0"/>
    </xf>
    <xf borderId="4" fillId="11" fontId="5" numFmtId="0" xfId="0" applyAlignment="1" applyBorder="1" applyFill="1" applyFont="1">
      <alignment horizontal="center" shrinkToFit="0" vertical="center" wrapText="1"/>
    </xf>
    <xf borderId="4" fillId="11" fontId="15" numFmtId="0" xfId="0" applyAlignment="1" applyBorder="1" applyFill="1" applyFont="1">
      <alignment shrinkToFit="0" vertical="center" wrapText="0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16" numFmtId="0" xfId="0" applyAlignment="1" applyBorder="1" applyFill="1" applyFont="1">
      <alignment shrinkToFit="0" vertical="center" wrapText="0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17" numFmtId="0" xfId="0" applyAlignment="1" applyBorder="1" applyFill="1" applyFont="1">
      <alignment shrinkToFit="0" vertical="center" wrapText="0"/>
    </xf>
    <xf borderId="4" fillId="14" fontId="18" numFmtId="0" xfId="0" applyAlignment="1" applyBorder="1" applyFill="1" applyFont="1">
      <alignment horizontal="center" shrinkToFit="0" vertical="center" wrapText="1"/>
    </xf>
    <xf borderId="4" fillId="14" fontId="18" numFmtId="0" xfId="0" applyAlignment="1" applyBorder="1" applyFill="1" applyFont="1">
      <alignment shrinkToFit="0" vertical="center" wrapText="0"/>
    </xf>
    <xf borderId="4" fillId="15" fontId="19" numFmtId="0" xfId="0" applyAlignment="1" applyBorder="1" applyFill="1" applyFont="1">
      <alignment horizontal="center" shrinkToFit="0" vertical="center" wrapText="1"/>
    </xf>
    <xf borderId="4" fillId="16" fontId="20" numFmtId="0" xfId="0" applyAlignment="1" applyBorder="1" applyFill="1" applyFont="1">
      <alignment horizontal="center" shrinkToFit="0" vertical="center" wrapText="1"/>
    </xf>
    <xf borderId="4" fillId="17" fontId="21" numFmtId="0" xfId="0" applyAlignment="1" applyBorder="1" applyFill="1" applyFont="1">
      <alignment horizontal="center" shrinkToFit="0" vertical="center" wrapText="1"/>
    </xf>
    <xf borderId="4" fillId="18" fontId="22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center" wrapText="1"/>
    </xf>
    <xf borderId="1" fillId="9" fontId="1" numFmtId="0" xfId="0" applyAlignment="1" applyBorder="1" applyFill="1" applyFont="1">
      <alignment shrinkToFit="0" vertical="center" wrapText="0"/>
    </xf>
    <xf borderId="0" fillId="0" fontId="23" numFmtId="0" xfId="0" applyAlignment="1" applyFont="1">
      <alignment shrinkToFit="0" vertical="bottom" wrapText="0"/>
    </xf>
    <xf borderId="1" fillId="8" fontId="1" numFmtId="0" xfId="0" applyAlignment="1" applyBorder="1" applyFill="1" applyFont="1">
      <alignment shrinkToFit="0" vertical="center" wrapText="0"/>
    </xf>
    <xf borderId="1" fillId="10" fontId="1" numFmtId="0" xfId="0" applyAlignment="1" applyBorder="1" applyFill="1" applyFont="1">
      <alignment shrinkToFit="0" vertical="center" wrapText="0"/>
    </xf>
    <xf borderId="4" fillId="0" fontId="5" numFmtId="0" xfId="0" applyAlignment="1" applyBorder="1" applyFont="1">
      <alignment readingOrder="0" shrinkToFit="0" vertical="top" wrapText="1"/>
    </xf>
    <xf borderId="4" fillId="19" fontId="5" numFmtId="0" xfId="0" applyAlignment="1" applyBorder="1" applyFill="1" applyFont="1">
      <alignment readingOrder="0" shrinkToFit="0" vertical="top" wrapText="1"/>
    </xf>
    <xf borderId="1" fillId="11" fontId="1" numFmtId="0" xfId="0" applyAlignment="1" applyBorder="1" applyFill="1" applyFont="1">
      <alignment shrinkToFit="0" vertical="center" wrapText="0"/>
    </xf>
    <xf borderId="1" fillId="12" fontId="1" numFmtId="0" xfId="0" applyAlignment="1" applyBorder="1" applyFill="1" applyFont="1">
      <alignment shrinkToFit="0" vertical="center" wrapText="0"/>
    </xf>
    <xf borderId="4" fillId="20" fontId="5" numFmtId="0" xfId="0" applyAlignment="1" applyBorder="1" applyFill="1" applyFont="1">
      <alignment horizontal="center" shrinkToFit="0" vertical="center" wrapText="1"/>
    </xf>
    <xf borderId="4" fillId="20" fontId="5" numFmtId="0" xfId="0" applyAlignment="1" applyBorder="1" applyFill="1" applyFont="1">
      <alignment shrinkToFit="0" vertical="top" wrapText="1"/>
    </xf>
    <xf borderId="4" fillId="20" fontId="6" numFmtId="0" xfId="0" applyAlignment="1" applyBorder="1" applyFill="1" applyFont="1">
      <alignment horizontal="center" shrinkToFit="0" vertical="center" wrapText="1"/>
    </xf>
    <xf borderId="1" fillId="21" fontId="24" numFmtId="0" xfId="0" applyAlignment="1" applyBorder="1" applyFill="1" applyFont="1">
      <alignment shrinkToFit="0" vertical="center" wrapText="0"/>
    </xf>
    <xf borderId="1" fillId="13" fontId="1" numFmtId="0" xfId="0" applyAlignment="1" applyBorder="1" applyFill="1" applyFont="1">
      <alignment shrinkToFit="0" vertical="center" wrapText="0"/>
    </xf>
    <xf borderId="4" fillId="22" fontId="4" numFmtId="0" xfId="0" applyAlignment="1" applyBorder="1" applyFill="1" applyFont="1">
      <alignment horizontal="center" shrinkToFit="0" vertical="center" wrapText="1"/>
    </xf>
    <xf borderId="1" fillId="23" fontId="25" numFmtId="0" xfId="0" applyAlignment="1" applyBorder="1" applyFill="1" applyFont="1">
      <alignment shrinkToFit="0" vertical="center" wrapText="0"/>
    </xf>
    <xf borderId="0" fillId="0" fontId="26" numFmtId="0" xfId="0" applyAlignment="1" applyFont="1">
      <alignment shrinkToFit="0" vertical="top" wrapText="1"/>
    </xf>
  </cellXfs>
  <cellStyles count="1">
    <cellStyle xfId="0" name="Normal" builtinId="0"/>
  </cellStyles>
  <dxfs count="8">
    <dxf>
      <font>
        <b/>
        <color rgb="FF1E7B34"/>
        <name val="Calibri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Calibri"/>
      </font>
      <fill>
        <patternFill patternType="solid">
          <fgColor rgb="FFFFC7CE"/>
          <bgColor rgb="FFFFC7CE"/>
        </patternFill>
      </fill>
      <border/>
    </dxf>
    <dxf>
      <font>
        <b/>
        <color rgb="FF9C5700"/>
        <name val="Calibri"/>
      </font>
      <fill>
        <patternFill patternType="solid">
          <fgColor rgb="FFFFE1A8"/>
          <bgColor rgb="FFFFE1A8"/>
        </patternFill>
      </fill>
      <border/>
    </dxf>
    <dxf>
      <font>
        <b/>
        <color rgb="FF595959"/>
        <name val="Calibri"/>
      </font>
      <fill>
        <patternFill patternType="solid">
          <fgColor rgb="FFE5E5E5"/>
          <bgColor rgb="FFE5E5E5"/>
        </patternFill>
      </fill>
      <border/>
    </dxf>
    <dxf>
      <font>
        <b/>
        <color rgb="FFFFFFFF"/>
        <name val="Calibri"/>
      </font>
      <fill>
        <patternFill patternType="solid">
          <fgColor rgb="FFC00000"/>
          <bgColor rgb="FFC00000"/>
        </patternFill>
      </fill>
      <border/>
    </dxf>
    <dxf>
      <font>
        <b/>
        <color rgb="FF7F0000"/>
        <name val="Calibri"/>
      </font>
      <fill>
        <patternFill patternType="solid">
          <fgColor rgb="FFFF9B9B"/>
          <bgColor rgb="FFFF9B9B"/>
        </patternFill>
      </fill>
      <border/>
    </dxf>
    <dxf>
      <font>
        <b/>
        <color rgb="FF7F6000"/>
        <name val="Calibri"/>
      </font>
      <fill>
        <patternFill patternType="solid">
          <fgColor rgb="FFFFE699"/>
          <bgColor rgb="FFFFE699"/>
        </patternFill>
      </fill>
      <border/>
    </dxf>
    <dxf>
      <font>
        <b/>
        <color rgb="FF1F4E78"/>
        <name val="Calibri"/>
      </font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9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2562225" cy="58388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562225" cy="5838825"/>
    <xdr:pic>
      <xdr:nvPicPr>
        <xdr:cNvPr descr="Picture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562225" cy="5838825"/>
    <xdr:pic>
      <xdr:nvPicPr>
        <xdr:cNvPr descr="Picture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2562225" cy="5838825"/>
    <xdr:pic>
      <xdr:nvPicPr>
        <xdr:cNvPr descr="Picture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562225" cy="5838825"/>
    <xdr:pic>
      <xdr:nvPicPr>
        <xdr:cNvPr descr="Picture"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2562225" cy="5838825"/>
    <xdr:pic>
      <xdr:nvPicPr>
        <xdr:cNvPr descr="Picture"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2562225" cy="5838825"/>
    <xdr:pic>
      <xdr:nvPicPr>
        <xdr:cNvPr descr="Picture"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562225" cy="5838825"/>
    <xdr:pic>
      <xdr:nvPicPr>
        <xdr:cNvPr descr="Picture"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2562225" cy="5838825"/>
    <xdr:pic>
      <xdr:nvPicPr>
        <xdr:cNvPr descr="Picture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cedemo_problem_user_testcases_bugreport_organized.xlsx" TargetMode="External"/><Relationship Id="rId2" Type="http://schemas.openxmlformats.org/officeDocument/2006/relationships/hyperlink" Target="http://saucedemo_problem_user_testcases_bugreport_organized.xlsx" TargetMode="External"/><Relationship Id="rId3" Type="http://schemas.openxmlformats.org/officeDocument/2006/relationships/hyperlink" Target="http://saucedemo_problem_user_testcases_bugreport_organized.xlsx" TargetMode="External"/><Relationship Id="rId4" Type="http://schemas.openxmlformats.org/officeDocument/2006/relationships/hyperlink" Target="http://saucedemo_problem_user_testcases_bugreport_organized.xlsx" TargetMode="External"/><Relationship Id="rId11" Type="http://schemas.openxmlformats.org/officeDocument/2006/relationships/hyperlink" Target="http://saucedemo_problem_user_testcases_bugreport_organized.xlsx" TargetMode="External"/><Relationship Id="rId10" Type="http://schemas.openxmlformats.org/officeDocument/2006/relationships/hyperlink" Target="http://saucedemo_problem_user_testcases_bugreport_organized.xlsx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saucedemo_problem_user_testcases_bugreport_organized.xlsx" TargetMode="External"/><Relationship Id="rId5" Type="http://schemas.openxmlformats.org/officeDocument/2006/relationships/hyperlink" Target="http://saucedemo_problem_user_testcases_bugreport_organized.xlsx" TargetMode="External"/><Relationship Id="rId6" Type="http://schemas.openxmlformats.org/officeDocument/2006/relationships/hyperlink" Target="http://saucedemo_problem_user_testcases_bugreport_organized.xlsx" TargetMode="External"/><Relationship Id="rId7" Type="http://schemas.openxmlformats.org/officeDocument/2006/relationships/hyperlink" Target="http://saucedemo_problem_user_testcases_bugreport_organized.xlsx" TargetMode="External"/><Relationship Id="rId8" Type="http://schemas.openxmlformats.org/officeDocument/2006/relationships/hyperlink" Target="http://saucedemo_problem_user_testcases_bugreport_organized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34.0"/>
    <col customWidth="1" min="4" max="4" width="13.0"/>
    <col customWidth="1" min="5" max="8" width="10.0"/>
    <col customWidth="1" min="9" max="10" width="8.71"/>
    <col customWidth="1" min="11" max="11" width="21.71"/>
    <col customWidth="1" min="12" max="20" width="8.71"/>
  </cols>
  <sheetData>
    <row r="2" ht="33.75" customHeight="1">
      <c r="B2" s="5" t="s">
        <v>3</v>
      </c>
      <c r="K2" s="11" t="s">
        <v>14</v>
      </c>
    </row>
    <row r="3">
      <c r="B3" s="12" t="s">
        <v>29</v>
      </c>
      <c r="K3" s="13" t="s">
        <v>43</v>
      </c>
      <c r="L3" s="14" t="s">
        <v>53</v>
      </c>
    </row>
    <row r="4">
      <c r="K4" s="13" t="s">
        <v>65</v>
      </c>
    </row>
    <row r="5">
      <c r="B5" s="4" t="s">
        <v>70</v>
      </c>
      <c r="C5" s="4" t="s">
        <v>72</v>
      </c>
      <c r="D5" s="4" t="s">
        <v>78</v>
      </c>
      <c r="E5" s="4" t="s">
        <v>41</v>
      </c>
      <c r="F5" s="4" t="s">
        <v>22</v>
      </c>
      <c r="G5" s="4" t="s">
        <v>83</v>
      </c>
      <c r="H5" s="4" t="s">
        <v>88</v>
      </c>
      <c r="K5" s="13" t="s">
        <v>91</v>
      </c>
    </row>
    <row r="6">
      <c r="B6" s="15">
        <v>1.0</v>
      </c>
      <c r="C6" s="16" t="s">
        <v>2</v>
      </c>
      <c r="D6" s="17">
        <v>7.0</v>
      </c>
      <c r="E6" s="8">
        <f>COUNTIF(Login!I3:I9,"Pass")</f>
        <v>7</v>
      </c>
      <c r="F6" s="8">
        <f>COUNTIF(Login!I3:I9,"Fail")</f>
        <v>0</v>
      </c>
      <c r="G6" s="8">
        <f>COUNTIF(Login!I3:I9,"Blocked")</f>
        <v>0</v>
      </c>
      <c r="H6" s="8">
        <f>COUNTIF(Login!I3:I9,"Not Run")</f>
        <v>0</v>
      </c>
      <c r="K6" s="13" t="s">
        <v>104</v>
      </c>
    </row>
    <row r="7">
      <c r="B7" s="18">
        <v>2.0</v>
      </c>
      <c r="C7" s="19" t="s">
        <v>1</v>
      </c>
      <c r="D7" s="8">
        <f>COUNTA(Inventory!C3:C6)</f>
        <v>4</v>
      </c>
      <c r="E7" s="8">
        <f>COUNTIF(Inventory!I3:I6,"Pass")</f>
        <v>1</v>
      </c>
      <c r="F7" s="8">
        <f>COUNTIF(Inventory!I3:I6,"Fail")</f>
        <v>3</v>
      </c>
      <c r="G7" s="8">
        <f>COUNTIF(Inventory!I3:I6,"Blocked")</f>
        <v>0</v>
      </c>
      <c r="H7" s="8">
        <f>COUNTIF(Inventory!I3:I6,"Not Run")</f>
        <v>0</v>
      </c>
      <c r="K7" s="13" t="s">
        <v>105</v>
      </c>
    </row>
    <row r="8">
      <c r="B8" s="20">
        <v>3.0</v>
      </c>
      <c r="C8" s="21" t="s">
        <v>0</v>
      </c>
      <c r="D8" s="8">
        <f>COUNTA(Sorting!C3:C6)</f>
        <v>4</v>
      </c>
      <c r="E8" s="8">
        <f>COUNTIF(Sorting!I3:I6,"Pass")</f>
        <v>0</v>
      </c>
      <c r="F8" s="8">
        <f>COUNTIF(Sorting!I3:I6,"Fail")</f>
        <v>4</v>
      </c>
      <c r="G8" s="8">
        <f>COUNTIF(Sorting!I3:I6,"Blocked")</f>
        <v>0</v>
      </c>
      <c r="H8" s="8">
        <f>COUNTIF(Sorting!I3:I6,"Not Run")</f>
        <v>0</v>
      </c>
      <c r="K8" s="13" t="s">
        <v>106</v>
      </c>
    </row>
    <row r="9">
      <c r="B9" s="22">
        <v>4.0</v>
      </c>
      <c r="C9" s="23" t="s">
        <v>107</v>
      </c>
      <c r="D9" s="8">
        <f>COUNTA('Add-Remove'!C3:C6)</f>
        <v>4</v>
      </c>
      <c r="E9" s="8">
        <f>COUNTIF('Add-Remove'!I3:I6,"Pass")</f>
        <v>1</v>
      </c>
      <c r="F9" s="8">
        <f>COUNTIF('Add-Remove'!I3:I6,"Fail")</f>
        <v>3</v>
      </c>
      <c r="G9" s="8">
        <f>COUNTIF('Add-Remove'!I3:I6,"Blocked")</f>
        <v>0</v>
      </c>
      <c r="H9" s="8">
        <f>COUNTIF('Add-Remove'!I3:I6,"Not Run")</f>
        <v>0</v>
      </c>
      <c r="K9" s="24"/>
    </row>
    <row r="10">
      <c r="B10" s="25">
        <v>5.0</v>
      </c>
      <c r="C10" s="26" t="s">
        <v>108</v>
      </c>
      <c r="D10" s="8">
        <f>COUNTA('Product Details'!C3:C5)</f>
        <v>3</v>
      </c>
      <c r="E10" s="8">
        <f>COUNTIF('Product Details'!I3:I5,"Pass")</f>
        <v>1</v>
      </c>
      <c r="F10" s="8">
        <f>COUNTIF('Product Details'!I3:I5,"Fail")</f>
        <v>2</v>
      </c>
      <c r="G10" s="8">
        <f>COUNTIF('Product Details'!I3:I5,"Blocked")</f>
        <v>0</v>
      </c>
      <c r="H10" s="8">
        <f>COUNTIF('Product Details'!I3:I5,"Not Run")</f>
        <v>0</v>
      </c>
      <c r="K10" s="24"/>
    </row>
    <row r="11">
      <c r="B11" s="27">
        <v>6.0</v>
      </c>
      <c r="C11" s="28" t="s">
        <v>109</v>
      </c>
      <c r="D11" s="8">
        <f>COUNTA(Cart!C3:C6)</f>
        <v>4</v>
      </c>
      <c r="E11" s="8">
        <f>COUNTIF(Cart!I3:I6,"Pass")</f>
        <v>3</v>
      </c>
      <c r="F11" s="8">
        <f>COUNTIF(Cart!I3:I6,"Fail")</f>
        <v>1</v>
      </c>
      <c r="G11" s="8">
        <f>COUNTIF(Cart!I3:I6,"Blocked")</f>
        <v>0</v>
      </c>
      <c r="H11" s="8">
        <f>COUNTIF(Cart!I3:I6,"Not Run")</f>
        <v>0</v>
      </c>
      <c r="K11" s="24"/>
    </row>
    <row r="12">
      <c r="B12" s="29">
        <v>7.0</v>
      </c>
      <c r="C12" s="30" t="s">
        <v>110</v>
      </c>
      <c r="D12" s="8">
        <f>COUNTA('Checkout Info'!C3:C13)</f>
        <v>11</v>
      </c>
      <c r="E12" s="8">
        <f>COUNTIF('Checkout Info'!I3:I13,"Pass")</f>
        <v>4</v>
      </c>
      <c r="F12" s="8">
        <f>COUNTIF('Checkout Info'!I3:I13,"Fail")</f>
        <v>6</v>
      </c>
      <c r="G12" s="8">
        <f>COUNTIF('Checkout Info'!I3:I13,"Blocked")</f>
        <v>1</v>
      </c>
      <c r="H12" s="8">
        <f>COUNTIF('Checkout Info'!I3:I13,"Not Run")</f>
        <v>0</v>
      </c>
      <c r="K12" s="24"/>
    </row>
    <row r="13">
      <c r="B13" s="31">
        <v>8.0</v>
      </c>
      <c r="C13" s="32" t="s">
        <v>111</v>
      </c>
      <c r="D13" s="8">
        <f>COUNTA('Checkout Overview'!C3:C4)</f>
        <v>2</v>
      </c>
      <c r="E13" s="8">
        <f>COUNTIF('Checkout Overview'!I3:I4,"Pass")</f>
        <v>0</v>
      </c>
      <c r="F13" s="8">
        <f>COUNTIF('Checkout Overview'!I3:I4,"Fail")</f>
        <v>0</v>
      </c>
      <c r="G13" s="8">
        <f>COUNTIF('Checkout Overview'!I3:I4,"Blocked")</f>
        <v>2</v>
      </c>
      <c r="H13" s="8">
        <f>COUNTIF('Checkout Overview'!I3:I4,"Not Run")</f>
        <v>0</v>
      </c>
    </row>
    <row r="14">
      <c r="B14" s="33">
        <v>9.0</v>
      </c>
      <c r="C14" s="34" t="s">
        <v>112</v>
      </c>
      <c r="D14" s="8">
        <f>COUNTA('Menu-Logout'!C3:C4)</f>
        <v>2</v>
      </c>
      <c r="E14" s="8">
        <f>COUNTIF('Menu-Logout'!I3:I4,"Pass")</f>
        <v>2</v>
      </c>
      <c r="F14" s="8">
        <f>COUNTIF('Menu-Logout'!I3:I4,"Fail")</f>
        <v>0</v>
      </c>
      <c r="G14" s="8">
        <f>COUNTIF('Menu-Logout'!I3:I4,"Blocked")</f>
        <v>0</v>
      </c>
      <c r="H14" s="8">
        <f>COUNTIF('Menu-Logout'!I3:I4,"Not Run")</f>
        <v>0</v>
      </c>
    </row>
    <row r="15">
      <c r="B15" s="35"/>
      <c r="C15" s="36" t="s">
        <v>113</v>
      </c>
      <c r="D15" s="35">
        <f t="shared" ref="D15:H15" si="1">SUM(D6:D14)</f>
        <v>41</v>
      </c>
      <c r="E15" s="37">
        <f t="shared" si="1"/>
        <v>19</v>
      </c>
      <c r="F15" s="38">
        <f t="shared" si="1"/>
        <v>19</v>
      </c>
      <c r="G15" s="39">
        <f t="shared" si="1"/>
        <v>3</v>
      </c>
      <c r="H15" s="40">
        <f t="shared" si="1"/>
        <v>0</v>
      </c>
    </row>
    <row r="17">
      <c r="C17" s="41" t="s">
        <v>114</v>
      </c>
      <c r="D17" s="42">
        <f>COUNTA('Bug Report'!A3:A10)</f>
        <v>8</v>
      </c>
    </row>
    <row r="18">
      <c r="C18" s="44" t="s">
        <v>115</v>
      </c>
    </row>
    <row r="19">
      <c r="C19" s="44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3:H3"/>
  </mergeCells>
  <hyperlinks>
    <hyperlink r:id="rId1" location="'Login'!A1" ref="C6"/>
    <hyperlink r:id="rId2" location="'Inventory'!A1" ref="C7"/>
    <hyperlink r:id="rId3" location="'Sorting'!A1" ref="C8"/>
    <hyperlink r:id="rId4" location="'Add-Remove'!A1" ref="C9"/>
    <hyperlink r:id="rId5" location="'Product%20Details'!A1" ref="C10"/>
    <hyperlink r:id="rId6" location="'Cart'!A1" ref="C11"/>
    <hyperlink r:id="rId7" location="'Checkout%20Info'!A1" ref="C12"/>
    <hyperlink r:id="rId8" location="'Checkout%20Overview'!A1" ref="C13"/>
    <hyperlink r:id="rId9" location="'Menu-Logout'!A1" ref="C14"/>
    <hyperlink r:id="rId10" location="'Bug%20Report'!A1" ref="C18"/>
    <hyperlink r:id="rId11" location="'Screenshots'!A1" ref="C19"/>
  </hyperlinks>
  <printOptions/>
  <pageMargins bottom="1.0" footer="0.0" header="0.0" left="0.75" right="0.75" top="1.0"/>
  <pageSetup paperSize="9" orientation="portrait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43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6" t="s">
        <v>2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25</v>
      </c>
      <c r="B3" s="9" t="s">
        <v>28</v>
      </c>
      <c r="C3" s="10" t="s">
        <v>30</v>
      </c>
      <c r="D3" s="9" t="s">
        <v>33</v>
      </c>
      <c r="E3" s="9" t="s">
        <v>35</v>
      </c>
      <c r="F3" s="9" t="s">
        <v>37</v>
      </c>
      <c r="G3" s="9" t="s">
        <v>38</v>
      </c>
      <c r="H3" s="9" t="s">
        <v>40</v>
      </c>
      <c r="I3" s="8" t="s">
        <v>41</v>
      </c>
    </row>
    <row r="4">
      <c r="A4" s="8" t="s">
        <v>25</v>
      </c>
      <c r="B4" s="9" t="s">
        <v>28</v>
      </c>
      <c r="C4" s="10" t="s">
        <v>46</v>
      </c>
      <c r="D4" s="9" t="s">
        <v>49</v>
      </c>
      <c r="E4" s="9" t="s">
        <v>52</v>
      </c>
      <c r="F4" s="9" t="s">
        <v>37</v>
      </c>
      <c r="G4" s="9" t="s">
        <v>54</v>
      </c>
      <c r="H4" s="9" t="s">
        <v>56</v>
      </c>
      <c r="I4" s="8" t="s">
        <v>41</v>
      </c>
    </row>
    <row r="5">
      <c r="A5" s="8" t="s">
        <v>25</v>
      </c>
      <c r="B5" s="9" t="s">
        <v>28</v>
      </c>
      <c r="C5" s="10" t="s">
        <v>59</v>
      </c>
      <c r="D5" s="9" t="s">
        <v>61</v>
      </c>
      <c r="E5" s="9" t="s">
        <v>63</v>
      </c>
      <c r="F5" s="9" t="s">
        <v>37</v>
      </c>
      <c r="G5" s="9" t="s">
        <v>66</v>
      </c>
      <c r="H5" s="9" t="s">
        <v>68</v>
      </c>
      <c r="I5" s="8" t="s">
        <v>41</v>
      </c>
    </row>
    <row r="6">
      <c r="A6" s="8" t="s">
        <v>25</v>
      </c>
      <c r="B6" s="9" t="s">
        <v>28</v>
      </c>
      <c r="C6" s="10" t="s">
        <v>71</v>
      </c>
      <c r="D6" s="9" t="s">
        <v>73</v>
      </c>
      <c r="E6" s="9" t="s">
        <v>75</v>
      </c>
      <c r="F6" s="9" t="s">
        <v>37</v>
      </c>
      <c r="G6" s="9" t="s">
        <v>79</v>
      </c>
      <c r="H6" s="9" t="s">
        <v>80</v>
      </c>
      <c r="I6" s="8" t="s">
        <v>41</v>
      </c>
    </row>
    <row r="7">
      <c r="A7" s="8" t="s">
        <v>25</v>
      </c>
      <c r="B7" s="9" t="s">
        <v>28</v>
      </c>
      <c r="C7" s="10" t="s">
        <v>85</v>
      </c>
      <c r="D7" s="9" t="s">
        <v>87</v>
      </c>
      <c r="E7" s="9" t="s">
        <v>90</v>
      </c>
      <c r="F7" s="9" t="s">
        <v>37</v>
      </c>
      <c r="G7" s="9" t="s">
        <v>66</v>
      </c>
      <c r="H7" s="9" t="s">
        <v>93</v>
      </c>
      <c r="I7" s="8" t="s">
        <v>41</v>
      </c>
    </row>
    <row r="8">
      <c r="A8" s="8" t="s">
        <v>25</v>
      </c>
      <c r="B8" s="9" t="s">
        <v>28</v>
      </c>
      <c r="C8" s="10" t="s">
        <v>95</v>
      </c>
      <c r="D8" s="9" t="s">
        <v>96</v>
      </c>
      <c r="E8" s="9" t="s">
        <v>97</v>
      </c>
      <c r="F8" s="9" t="s">
        <v>37</v>
      </c>
      <c r="G8" s="9" t="s">
        <v>54</v>
      </c>
      <c r="H8" s="9" t="s">
        <v>98</v>
      </c>
      <c r="I8" s="8" t="s">
        <v>41</v>
      </c>
    </row>
    <row r="9">
      <c r="A9" s="8" t="s">
        <v>25</v>
      </c>
      <c r="B9" s="9" t="s">
        <v>28</v>
      </c>
      <c r="C9" s="10" t="s">
        <v>99</v>
      </c>
      <c r="D9" s="9" t="s">
        <v>100</v>
      </c>
      <c r="E9" s="9" t="s">
        <v>101</v>
      </c>
      <c r="F9" s="9" t="s">
        <v>37</v>
      </c>
      <c r="G9" s="9" t="s">
        <v>102</v>
      </c>
      <c r="H9" s="9" t="s">
        <v>103</v>
      </c>
      <c r="I9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9">
    <cfRule type="cellIs" dxfId="0" priority="1" operator="equal">
      <formula>"Pass"</formula>
    </cfRule>
  </conditionalFormatting>
  <conditionalFormatting sqref="I3:I9">
    <cfRule type="cellIs" dxfId="1" priority="2" operator="equal">
      <formula>"Fail"</formula>
    </cfRule>
  </conditionalFormatting>
  <conditionalFormatting sqref="I3:I9">
    <cfRule type="cellIs" dxfId="2" priority="3" operator="equal">
      <formula>"Blocked"</formula>
    </cfRule>
  </conditionalFormatting>
  <conditionalFormatting sqref="I3:I9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7" t="s">
        <v>1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32</v>
      </c>
      <c r="B3" s="9" t="s">
        <v>42</v>
      </c>
      <c r="C3" s="10" t="s">
        <v>45</v>
      </c>
      <c r="D3" s="9" t="s">
        <v>48</v>
      </c>
      <c r="E3" s="9" t="s">
        <v>51</v>
      </c>
      <c r="F3" s="9" t="s">
        <v>19</v>
      </c>
      <c r="G3" s="9" t="s">
        <v>55</v>
      </c>
      <c r="H3" s="9" t="s">
        <v>57</v>
      </c>
      <c r="I3" s="8" t="s">
        <v>22</v>
      </c>
    </row>
    <row r="4">
      <c r="A4" s="8" t="s">
        <v>32</v>
      </c>
      <c r="B4" s="9" t="s">
        <v>42</v>
      </c>
      <c r="C4" s="10" t="s">
        <v>60</v>
      </c>
      <c r="D4" s="9" t="s">
        <v>62</v>
      </c>
      <c r="E4" s="9" t="s">
        <v>64</v>
      </c>
      <c r="F4" s="9" t="s">
        <v>19</v>
      </c>
      <c r="G4" s="9" t="s">
        <v>67</v>
      </c>
      <c r="H4" s="9" t="s">
        <v>69</v>
      </c>
      <c r="I4" s="8" t="s">
        <v>41</v>
      </c>
    </row>
    <row r="5">
      <c r="A5" s="8" t="s">
        <v>32</v>
      </c>
      <c r="B5" s="9" t="s">
        <v>42</v>
      </c>
      <c r="C5" s="10" t="s">
        <v>74</v>
      </c>
      <c r="D5" s="9" t="s">
        <v>76</v>
      </c>
      <c r="E5" s="9" t="s">
        <v>77</v>
      </c>
      <c r="F5" s="9" t="s">
        <v>19</v>
      </c>
      <c r="G5" s="9" t="s">
        <v>81</v>
      </c>
      <c r="H5" s="9" t="s">
        <v>82</v>
      </c>
      <c r="I5" s="8" t="s">
        <v>22</v>
      </c>
    </row>
    <row r="6">
      <c r="A6" s="8" t="s">
        <v>32</v>
      </c>
      <c r="B6" s="9" t="s">
        <v>42</v>
      </c>
      <c r="C6" s="10" t="s">
        <v>84</v>
      </c>
      <c r="D6" s="9" t="s">
        <v>86</v>
      </c>
      <c r="E6" s="9" t="s">
        <v>89</v>
      </c>
      <c r="F6" s="9" t="s">
        <v>19</v>
      </c>
      <c r="G6" s="9" t="s">
        <v>92</v>
      </c>
      <c r="H6" s="9" t="s">
        <v>94</v>
      </c>
      <c r="I6" s="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6">
    <cfRule type="cellIs" dxfId="0" priority="1" operator="equal">
      <formula>"Pass"</formula>
    </cfRule>
  </conditionalFormatting>
  <conditionalFormatting sqref="I3:I6">
    <cfRule type="cellIs" dxfId="1" priority="2" operator="equal">
      <formula>"Fail"</formula>
    </cfRule>
  </conditionalFormatting>
  <conditionalFormatting sqref="I3:I6">
    <cfRule type="cellIs" dxfId="2" priority="3" operator="equal">
      <formula>"Blocked"</formula>
    </cfRule>
  </conditionalFormatting>
  <conditionalFormatting sqref="I3:I6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BB5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13</v>
      </c>
      <c r="B3" s="9" t="s">
        <v>15</v>
      </c>
      <c r="C3" s="10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8" t="s">
        <v>22</v>
      </c>
    </row>
    <row r="4">
      <c r="A4" s="8" t="s">
        <v>13</v>
      </c>
      <c r="B4" s="9" t="s">
        <v>15</v>
      </c>
      <c r="C4" s="10" t="s">
        <v>23</v>
      </c>
      <c r="D4" s="9" t="s">
        <v>24</v>
      </c>
      <c r="E4" s="9" t="s">
        <v>26</v>
      </c>
      <c r="F4" s="9" t="s">
        <v>19</v>
      </c>
      <c r="G4" s="9" t="s">
        <v>27</v>
      </c>
      <c r="H4" s="9" t="s">
        <v>21</v>
      </c>
      <c r="I4" s="8" t="s">
        <v>22</v>
      </c>
    </row>
    <row r="5">
      <c r="A5" s="8" t="s">
        <v>13</v>
      </c>
      <c r="B5" s="9" t="s">
        <v>15</v>
      </c>
      <c r="C5" s="10" t="s">
        <v>31</v>
      </c>
      <c r="D5" s="9" t="s">
        <v>34</v>
      </c>
      <c r="E5" s="9" t="s">
        <v>36</v>
      </c>
      <c r="F5" s="9" t="s">
        <v>19</v>
      </c>
      <c r="G5" s="9" t="s">
        <v>39</v>
      </c>
      <c r="H5" s="9" t="s">
        <v>21</v>
      </c>
      <c r="I5" s="8" t="s">
        <v>22</v>
      </c>
    </row>
    <row r="6">
      <c r="A6" s="8" t="s">
        <v>13</v>
      </c>
      <c r="B6" s="9" t="s">
        <v>15</v>
      </c>
      <c r="C6" s="10" t="s">
        <v>44</v>
      </c>
      <c r="D6" s="9" t="s">
        <v>47</v>
      </c>
      <c r="E6" s="9" t="s">
        <v>50</v>
      </c>
      <c r="F6" s="9" t="s">
        <v>19</v>
      </c>
      <c r="G6" s="9" t="s">
        <v>58</v>
      </c>
      <c r="H6" s="9" t="s">
        <v>21</v>
      </c>
      <c r="I6" s="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6">
    <cfRule type="cellIs" dxfId="0" priority="1" operator="equal">
      <formula>"Pass"</formula>
    </cfRule>
  </conditionalFormatting>
  <conditionalFormatting sqref="I3:I6">
    <cfRule type="cellIs" dxfId="1" priority="2" operator="equal">
      <formula>"Fail"</formula>
    </cfRule>
  </conditionalFormatting>
  <conditionalFormatting sqref="I3:I6">
    <cfRule type="cellIs" dxfId="2" priority="3" operator="equal">
      <formula>"Blocked"</formula>
    </cfRule>
  </conditionalFormatting>
  <conditionalFormatting sqref="I3:I6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ACC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43" t="s">
        <v>108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117</v>
      </c>
      <c r="B3" s="9" t="s">
        <v>118</v>
      </c>
      <c r="C3" s="10" t="s">
        <v>119</v>
      </c>
      <c r="D3" s="9" t="s">
        <v>120</v>
      </c>
      <c r="E3" s="9" t="s">
        <v>121</v>
      </c>
      <c r="F3" s="9" t="s">
        <v>19</v>
      </c>
      <c r="G3" s="9" t="s">
        <v>122</v>
      </c>
      <c r="H3" s="9" t="s">
        <v>123</v>
      </c>
      <c r="I3" s="8" t="s">
        <v>22</v>
      </c>
    </row>
    <row r="4">
      <c r="A4" s="8" t="s">
        <v>117</v>
      </c>
      <c r="B4" s="9" t="s">
        <v>118</v>
      </c>
      <c r="C4" s="10" t="s">
        <v>124</v>
      </c>
      <c r="D4" s="9" t="s">
        <v>125</v>
      </c>
      <c r="E4" s="9" t="s">
        <v>126</v>
      </c>
      <c r="F4" s="9" t="s">
        <v>19</v>
      </c>
      <c r="G4" s="9" t="s">
        <v>127</v>
      </c>
      <c r="H4" s="9" t="s">
        <v>128</v>
      </c>
      <c r="I4" s="8" t="s">
        <v>22</v>
      </c>
    </row>
    <row r="5">
      <c r="A5" s="8" t="s">
        <v>117</v>
      </c>
      <c r="B5" s="9" t="s">
        <v>118</v>
      </c>
      <c r="C5" s="10" t="s">
        <v>129</v>
      </c>
      <c r="D5" s="9" t="s">
        <v>130</v>
      </c>
      <c r="E5" s="9" t="s">
        <v>131</v>
      </c>
      <c r="F5" s="9" t="s">
        <v>19</v>
      </c>
      <c r="G5" s="9" t="s">
        <v>132</v>
      </c>
      <c r="H5" s="9" t="s">
        <v>133</v>
      </c>
      <c r="I5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5">
    <cfRule type="cellIs" dxfId="0" priority="1" operator="equal">
      <formula>"Pass"</formula>
    </cfRule>
  </conditionalFormatting>
  <conditionalFormatting sqref="I3:I5">
    <cfRule type="cellIs" dxfId="1" priority="2" operator="equal">
      <formula>"Fail"</formula>
    </cfRule>
  </conditionalFormatting>
  <conditionalFormatting sqref="I3:I5">
    <cfRule type="cellIs" dxfId="2" priority="3" operator="equal">
      <formula>"Blocked"</formula>
    </cfRule>
  </conditionalFormatting>
  <conditionalFormatting sqref="I3:I5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45" t="s">
        <v>107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134</v>
      </c>
      <c r="B3" s="9" t="s">
        <v>136</v>
      </c>
      <c r="C3" s="10" t="s">
        <v>138</v>
      </c>
      <c r="D3" s="47" t="s">
        <v>142</v>
      </c>
      <c r="E3" s="47" t="s">
        <v>152</v>
      </c>
      <c r="F3" s="9" t="s">
        <v>19</v>
      </c>
      <c r="G3" s="9" t="s">
        <v>153</v>
      </c>
      <c r="H3" s="48" t="s">
        <v>156</v>
      </c>
      <c r="I3" s="8" t="s">
        <v>41</v>
      </c>
    </row>
    <row r="4">
      <c r="A4" s="8" t="s">
        <v>134</v>
      </c>
      <c r="B4" s="9" t="s">
        <v>136</v>
      </c>
      <c r="C4" s="10" t="s">
        <v>165</v>
      </c>
      <c r="D4" s="47" t="s">
        <v>166</v>
      </c>
      <c r="E4" s="47" t="s">
        <v>167</v>
      </c>
      <c r="F4" s="9" t="s">
        <v>19</v>
      </c>
      <c r="G4" s="9" t="s">
        <v>168</v>
      </c>
      <c r="H4" s="9" t="s">
        <v>169</v>
      </c>
      <c r="I4" s="8" t="s">
        <v>22</v>
      </c>
    </row>
    <row r="5">
      <c r="A5" s="8" t="s">
        <v>134</v>
      </c>
      <c r="B5" s="9" t="s">
        <v>136</v>
      </c>
      <c r="C5" s="10" t="s">
        <v>170</v>
      </c>
      <c r="D5" s="9" t="s">
        <v>171</v>
      </c>
      <c r="E5" s="9" t="s">
        <v>172</v>
      </c>
      <c r="F5" s="9" t="s">
        <v>19</v>
      </c>
      <c r="G5" s="9" t="s">
        <v>122</v>
      </c>
      <c r="H5" s="47" t="s">
        <v>173</v>
      </c>
      <c r="I5" s="8" t="s">
        <v>22</v>
      </c>
    </row>
    <row r="6">
      <c r="A6" s="8" t="s">
        <v>134</v>
      </c>
      <c r="B6" s="9" t="s">
        <v>136</v>
      </c>
      <c r="C6" s="10" t="s">
        <v>174</v>
      </c>
      <c r="D6" s="9" t="s">
        <v>175</v>
      </c>
      <c r="E6" s="9" t="s">
        <v>176</v>
      </c>
      <c r="F6" s="9" t="s">
        <v>177</v>
      </c>
      <c r="G6" s="9" t="s">
        <v>178</v>
      </c>
      <c r="H6" s="9" t="s">
        <v>179</v>
      </c>
      <c r="I6" s="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6">
    <cfRule type="cellIs" dxfId="0" priority="1" operator="equal">
      <formula>"Pass"</formula>
    </cfRule>
  </conditionalFormatting>
  <conditionalFormatting sqref="I3:I6">
    <cfRule type="cellIs" dxfId="1" priority="2" operator="equal">
      <formula>"Fail"</formula>
    </cfRule>
  </conditionalFormatting>
  <conditionalFormatting sqref="I3:I6">
    <cfRule type="cellIs" dxfId="2" priority="3" operator="equal">
      <formula>"Blocked"</formula>
    </cfRule>
  </conditionalFormatting>
  <conditionalFormatting sqref="I3:I6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31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46" t="s">
        <v>109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135</v>
      </c>
      <c r="B3" s="9" t="s">
        <v>137</v>
      </c>
      <c r="C3" s="10" t="s">
        <v>139</v>
      </c>
      <c r="D3" s="9" t="s">
        <v>140</v>
      </c>
      <c r="E3" s="9" t="s">
        <v>141</v>
      </c>
      <c r="F3" s="9" t="s">
        <v>143</v>
      </c>
      <c r="G3" s="9" t="s">
        <v>144</v>
      </c>
      <c r="H3" s="9" t="s">
        <v>145</v>
      </c>
      <c r="I3" s="8" t="s">
        <v>41</v>
      </c>
    </row>
    <row r="4">
      <c r="A4" s="8" t="s">
        <v>135</v>
      </c>
      <c r="B4" s="9" t="s">
        <v>137</v>
      </c>
      <c r="C4" s="10" t="s">
        <v>146</v>
      </c>
      <c r="D4" s="9" t="s">
        <v>147</v>
      </c>
      <c r="E4" s="9" t="s">
        <v>148</v>
      </c>
      <c r="F4" s="9" t="s">
        <v>149</v>
      </c>
      <c r="G4" s="9" t="s">
        <v>150</v>
      </c>
      <c r="H4" s="9" t="s">
        <v>151</v>
      </c>
      <c r="I4" s="8" t="s">
        <v>41</v>
      </c>
    </row>
    <row r="5">
      <c r="A5" s="8" t="s">
        <v>135</v>
      </c>
      <c r="B5" s="9" t="s">
        <v>137</v>
      </c>
      <c r="C5" s="10" t="s">
        <v>154</v>
      </c>
      <c r="D5" s="9" t="s">
        <v>155</v>
      </c>
      <c r="E5" s="9" t="s">
        <v>157</v>
      </c>
      <c r="F5" s="9" t="s">
        <v>19</v>
      </c>
      <c r="G5" s="9" t="s">
        <v>132</v>
      </c>
      <c r="H5" s="9" t="s">
        <v>158</v>
      </c>
      <c r="I5" s="8" t="s">
        <v>41</v>
      </c>
    </row>
    <row r="6">
      <c r="A6" s="8" t="s">
        <v>135</v>
      </c>
      <c r="B6" s="9" t="s">
        <v>137</v>
      </c>
      <c r="C6" s="10" t="s">
        <v>159</v>
      </c>
      <c r="D6" s="9" t="s">
        <v>160</v>
      </c>
      <c r="E6" s="9" t="s">
        <v>161</v>
      </c>
      <c r="F6" s="9" t="s">
        <v>162</v>
      </c>
      <c r="G6" s="9" t="s">
        <v>163</v>
      </c>
      <c r="H6" s="9" t="s">
        <v>164</v>
      </c>
      <c r="I6" s="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6">
    <cfRule type="cellIs" dxfId="0" priority="1" operator="equal">
      <formula>"Pass"</formula>
    </cfRule>
  </conditionalFormatting>
  <conditionalFormatting sqref="I3:I6">
    <cfRule type="cellIs" dxfId="1" priority="2" operator="equal">
      <formula>"Fail"</formula>
    </cfRule>
  </conditionalFormatting>
  <conditionalFormatting sqref="I3:I6">
    <cfRule type="cellIs" dxfId="2" priority="3" operator="equal">
      <formula>"Blocked"</formula>
    </cfRule>
  </conditionalFormatting>
  <conditionalFormatting sqref="I3:I6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9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49" t="s">
        <v>110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180</v>
      </c>
      <c r="B3" s="9" t="s">
        <v>181</v>
      </c>
      <c r="C3" s="10" t="s">
        <v>182</v>
      </c>
      <c r="D3" s="9" t="s">
        <v>183</v>
      </c>
      <c r="E3" s="9" t="s">
        <v>184</v>
      </c>
      <c r="F3" s="9" t="s">
        <v>143</v>
      </c>
      <c r="G3" s="9" t="s">
        <v>185</v>
      </c>
      <c r="H3" s="9" t="s">
        <v>186</v>
      </c>
      <c r="I3" s="8" t="s">
        <v>41</v>
      </c>
    </row>
    <row r="4">
      <c r="A4" s="8" t="s">
        <v>180</v>
      </c>
      <c r="B4" s="9" t="s">
        <v>181</v>
      </c>
      <c r="C4" s="10" t="s">
        <v>187</v>
      </c>
      <c r="D4" s="9" t="s">
        <v>188</v>
      </c>
      <c r="E4" s="9" t="s">
        <v>189</v>
      </c>
      <c r="F4" s="9" t="s">
        <v>143</v>
      </c>
      <c r="G4" s="9" t="s">
        <v>190</v>
      </c>
      <c r="H4" s="9" t="s">
        <v>191</v>
      </c>
      <c r="I4" s="8" t="s">
        <v>22</v>
      </c>
    </row>
    <row r="5">
      <c r="A5" s="8" t="s">
        <v>180</v>
      </c>
      <c r="B5" s="9" t="s">
        <v>181</v>
      </c>
      <c r="C5" s="10" t="s">
        <v>192</v>
      </c>
      <c r="D5" s="9" t="s">
        <v>193</v>
      </c>
      <c r="E5" s="9" t="s">
        <v>194</v>
      </c>
      <c r="F5" s="9" t="s">
        <v>143</v>
      </c>
      <c r="G5" s="9" t="s">
        <v>195</v>
      </c>
      <c r="H5" s="9" t="s">
        <v>196</v>
      </c>
      <c r="I5" s="8" t="s">
        <v>22</v>
      </c>
    </row>
    <row r="6">
      <c r="A6" s="8" t="s">
        <v>180</v>
      </c>
      <c r="B6" s="9" t="s">
        <v>181</v>
      </c>
      <c r="C6" s="10" t="s">
        <v>197</v>
      </c>
      <c r="D6" s="9" t="s">
        <v>198</v>
      </c>
      <c r="E6" s="9" t="s">
        <v>199</v>
      </c>
      <c r="F6" s="9" t="s">
        <v>143</v>
      </c>
      <c r="G6" s="9" t="s">
        <v>200</v>
      </c>
      <c r="H6" s="9" t="s">
        <v>201</v>
      </c>
      <c r="I6" s="8" t="s">
        <v>41</v>
      </c>
    </row>
    <row r="7">
      <c r="A7" s="8" t="s">
        <v>180</v>
      </c>
      <c r="B7" s="9" t="s">
        <v>181</v>
      </c>
      <c r="C7" s="10" t="s">
        <v>202</v>
      </c>
      <c r="D7" s="9" t="s">
        <v>203</v>
      </c>
      <c r="E7" s="9" t="s">
        <v>204</v>
      </c>
      <c r="F7" s="9" t="s">
        <v>143</v>
      </c>
      <c r="G7" s="9" t="s">
        <v>206</v>
      </c>
      <c r="H7" s="9" t="s">
        <v>207</v>
      </c>
      <c r="I7" s="8" t="s">
        <v>22</v>
      </c>
    </row>
    <row r="8">
      <c r="A8" s="8" t="s">
        <v>180</v>
      </c>
      <c r="B8" s="9" t="s">
        <v>181</v>
      </c>
      <c r="C8" s="10" t="s">
        <v>208</v>
      </c>
      <c r="D8" s="9" t="s">
        <v>209</v>
      </c>
      <c r="E8" s="9" t="s">
        <v>210</v>
      </c>
      <c r="F8" s="9" t="s">
        <v>143</v>
      </c>
      <c r="G8" s="9" t="s">
        <v>211</v>
      </c>
      <c r="H8" s="9" t="s">
        <v>212</v>
      </c>
      <c r="I8" s="8" t="s">
        <v>41</v>
      </c>
    </row>
    <row r="9">
      <c r="A9" s="8" t="s">
        <v>180</v>
      </c>
      <c r="B9" s="9" t="s">
        <v>181</v>
      </c>
      <c r="C9" s="10" t="s">
        <v>213</v>
      </c>
      <c r="D9" s="9" t="s">
        <v>214</v>
      </c>
      <c r="E9" s="9" t="s">
        <v>215</v>
      </c>
      <c r="F9" s="9" t="s">
        <v>143</v>
      </c>
      <c r="G9" s="9" t="s">
        <v>211</v>
      </c>
      <c r="H9" s="9" t="s">
        <v>216</v>
      </c>
      <c r="I9" s="8" t="s">
        <v>22</v>
      </c>
    </row>
    <row r="10">
      <c r="A10" s="8" t="s">
        <v>180</v>
      </c>
      <c r="B10" s="9" t="s">
        <v>181</v>
      </c>
      <c r="C10" s="10" t="s">
        <v>217</v>
      </c>
      <c r="D10" s="9" t="s">
        <v>218</v>
      </c>
      <c r="E10" s="9" t="s">
        <v>220</v>
      </c>
      <c r="F10" s="9" t="s">
        <v>143</v>
      </c>
      <c r="G10" s="9" t="s">
        <v>221</v>
      </c>
      <c r="H10" s="9" t="s">
        <v>222</v>
      </c>
      <c r="I10" s="8" t="s">
        <v>22</v>
      </c>
    </row>
    <row r="11">
      <c r="A11" s="8" t="s">
        <v>180</v>
      </c>
      <c r="B11" s="9" t="s">
        <v>181</v>
      </c>
      <c r="C11" s="10" t="s">
        <v>223</v>
      </c>
      <c r="D11" s="9" t="s">
        <v>224</v>
      </c>
      <c r="E11" s="9" t="s">
        <v>225</v>
      </c>
      <c r="F11" s="9" t="s">
        <v>143</v>
      </c>
      <c r="G11" s="9" t="s">
        <v>226</v>
      </c>
      <c r="H11" s="9" t="s">
        <v>227</v>
      </c>
      <c r="I11" s="8" t="s">
        <v>22</v>
      </c>
    </row>
    <row r="12">
      <c r="A12" s="8" t="s">
        <v>180</v>
      </c>
      <c r="B12" s="9" t="s">
        <v>181</v>
      </c>
      <c r="C12" s="10" t="s">
        <v>229</v>
      </c>
      <c r="D12" s="9" t="s">
        <v>230</v>
      </c>
      <c r="E12" s="9" t="s">
        <v>231</v>
      </c>
      <c r="F12" s="9" t="s">
        <v>143</v>
      </c>
      <c r="G12" s="9" t="s">
        <v>232</v>
      </c>
      <c r="H12" s="9" t="s">
        <v>233</v>
      </c>
      <c r="I12" s="8" t="s">
        <v>83</v>
      </c>
    </row>
    <row r="13">
      <c r="A13" s="8" t="s">
        <v>180</v>
      </c>
      <c r="B13" s="9" t="s">
        <v>181</v>
      </c>
      <c r="C13" s="10" t="s">
        <v>237</v>
      </c>
      <c r="D13" s="9" t="s">
        <v>239</v>
      </c>
      <c r="E13" s="9" t="s">
        <v>241</v>
      </c>
      <c r="F13" s="9" t="s">
        <v>143</v>
      </c>
      <c r="G13" s="9" t="s">
        <v>242</v>
      </c>
      <c r="H13" s="9" t="s">
        <v>243</v>
      </c>
      <c r="I13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13">
    <cfRule type="cellIs" dxfId="0" priority="1" operator="equal">
      <formula>"Pass"</formula>
    </cfRule>
  </conditionalFormatting>
  <conditionalFormatting sqref="I3:I13">
    <cfRule type="cellIs" dxfId="1" priority="2" operator="equal">
      <formula>"Fail"</formula>
    </cfRule>
  </conditionalFormatting>
  <conditionalFormatting sqref="I3:I13">
    <cfRule type="cellIs" dxfId="2" priority="3" operator="equal">
      <formula>"Blocked"</formula>
    </cfRule>
  </conditionalFormatting>
  <conditionalFormatting sqref="I3:I13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9FBF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50" t="s">
        <v>111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51" t="s">
        <v>205</v>
      </c>
      <c r="B3" s="52" t="s">
        <v>219</v>
      </c>
      <c r="C3" s="53" t="s">
        <v>228</v>
      </c>
      <c r="D3" s="52" t="s">
        <v>234</v>
      </c>
      <c r="E3" s="52" t="s">
        <v>235</v>
      </c>
      <c r="F3" s="52" t="s">
        <v>236</v>
      </c>
      <c r="G3" s="52" t="s">
        <v>238</v>
      </c>
      <c r="H3" s="52" t="s">
        <v>240</v>
      </c>
      <c r="I3" s="51" t="s">
        <v>83</v>
      </c>
    </row>
    <row r="4">
      <c r="A4" s="51" t="s">
        <v>205</v>
      </c>
      <c r="B4" s="52" t="s">
        <v>219</v>
      </c>
      <c r="C4" s="53" t="s">
        <v>244</v>
      </c>
      <c r="D4" s="52" t="s">
        <v>245</v>
      </c>
      <c r="E4" s="52" t="s">
        <v>246</v>
      </c>
      <c r="F4" s="52" t="s">
        <v>247</v>
      </c>
      <c r="G4" s="52" t="s">
        <v>248</v>
      </c>
      <c r="H4" s="52" t="s">
        <v>240</v>
      </c>
      <c r="I4" s="51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4">
    <cfRule type="cellIs" dxfId="0" priority="1" operator="equal">
      <formula>"Pass"</formula>
    </cfRule>
  </conditionalFormatting>
  <conditionalFormatting sqref="I3:I4">
    <cfRule type="cellIs" dxfId="1" priority="2" operator="equal">
      <formula>"Fail"</formula>
    </cfRule>
  </conditionalFormatting>
  <conditionalFormatting sqref="I3:I4">
    <cfRule type="cellIs" dxfId="2" priority="3" operator="equal">
      <formula>"Blocked"</formula>
    </cfRule>
  </conditionalFormatting>
  <conditionalFormatting sqref="I3:I4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32.0"/>
    <col customWidth="1" min="5" max="5" width="42.0"/>
    <col customWidth="1" min="6" max="6" width="18.0"/>
    <col customWidth="1" min="7" max="7" width="36.0"/>
    <col customWidth="1" min="8" max="8" width="44.0"/>
    <col customWidth="1" min="9" max="9" width="11.0"/>
    <col customWidth="1" min="10" max="26" width="8.71"/>
  </cols>
  <sheetData>
    <row r="1" ht="30.0" customHeight="1">
      <c r="A1" s="55" t="s">
        <v>112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8" t="s">
        <v>251</v>
      </c>
      <c r="B3" s="9" t="s">
        <v>252</v>
      </c>
      <c r="C3" s="10" t="s">
        <v>254</v>
      </c>
      <c r="D3" s="9" t="s">
        <v>256</v>
      </c>
      <c r="E3" s="9" t="s">
        <v>257</v>
      </c>
      <c r="F3" s="9" t="s">
        <v>19</v>
      </c>
      <c r="G3" s="9" t="s">
        <v>259</v>
      </c>
      <c r="H3" s="9" t="s">
        <v>260</v>
      </c>
      <c r="I3" s="8" t="s">
        <v>41</v>
      </c>
    </row>
    <row r="4">
      <c r="A4" s="8" t="s">
        <v>251</v>
      </c>
      <c r="B4" s="9" t="s">
        <v>252</v>
      </c>
      <c r="C4" s="10" t="s">
        <v>263</v>
      </c>
      <c r="D4" s="9" t="s">
        <v>264</v>
      </c>
      <c r="E4" s="9" t="s">
        <v>265</v>
      </c>
      <c r="F4" s="9" t="s">
        <v>267</v>
      </c>
      <c r="G4" s="9" t="s">
        <v>268</v>
      </c>
      <c r="H4" s="9" t="s">
        <v>270</v>
      </c>
      <c r="I4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I3:I4">
    <cfRule type="cellIs" dxfId="0" priority="1" operator="equal">
      <formula>"Pass"</formula>
    </cfRule>
  </conditionalFormatting>
  <conditionalFormatting sqref="I3:I4">
    <cfRule type="cellIs" dxfId="1" priority="2" operator="equal">
      <formula>"Fail"</formula>
    </cfRule>
  </conditionalFormatting>
  <conditionalFormatting sqref="I3:I4">
    <cfRule type="cellIs" dxfId="2" priority="3" operator="equal">
      <formula>"Blocked"</formula>
    </cfRule>
  </conditionalFormatting>
  <conditionalFormatting sqref="I3:I4">
    <cfRule type="cellIs" dxfId="3" priority="4" operator="equal">
      <formula>"Not Run"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8.0"/>
    <col customWidth="1" min="3" max="3" width="26.0"/>
    <col customWidth="1" min="4" max="4" width="40.0"/>
    <col customWidth="1" min="5" max="5" width="32.0"/>
    <col customWidth="1" min="6" max="6" width="44.0"/>
    <col customWidth="1" min="7" max="8" width="11.0"/>
    <col customWidth="1" min="9" max="9" width="10.0"/>
    <col customWidth="1" min="10" max="10" width="16.0"/>
    <col customWidth="1" min="11" max="11" width="26.0"/>
    <col customWidth="1" min="12" max="26" width="8.71"/>
  </cols>
  <sheetData>
    <row r="1" ht="30.0" customHeight="1">
      <c r="A1" s="54" t="s">
        <v>249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6" t="s">
        <v>250</v>
      </c>
      <c r="B2" s="56" t="s">
        <v>253</v>
      </c>
      <c r="C2" s="56" t="s">
        <v>255</v>
      </c>
      <c r="D2" s="56" t="s">
        <v>258</v>
      </c>
      <c r="E2" s="56" t="s">
        <v>10</v>
      </c>
      <c r="F2" s="56" t="s">
        <v>11</v>
      </c>
      <c r="G2" s="56" t="s">
        <v>261</v>
      </c>
      <c r="H2" s="56" t="s">
        <v>262</v>
      </c>
      <c r="I2" s="56" t="s">
        <v>12</v>
      </c>
      <c r="J2" s="56" t="s">
        <v>266</v>
      </c>
      <c r="K2" s="56" t="s">
        <v>269</v>
      </c>
    </row>
    <row r="3">
      <c r="A3" s="10" t="s">
        <v>271</v>
      </c>
      <c r="B3" s="9" t="s">
        <v>272</v>
      </c>
      <c r="C3" s="9" t="s">
        <v>273</v>
      </c>
      <c r="D3" s="9" t="s">
        <v>274</v>
      </c>
      <c r="E3" s="9" t="s">
        <v>48</v>
      </c>
      <c r="F3" s="9" t="s">
        <v>275</v>
      </c>
      <c r="G3" s="8" t="s">
        <v>276</v>
      </c>
      <c r="H3" s="8" t="s">
        <v>276</v>
      </c>
      <c r="I3" s="8" t="s">
        <v>277</v>
      </c>
      <c r="J3" s="8" t="s">
        <v>45</v>
      </c>
      <c r="K3" s="9" t="s">
        <v>278</v>
      </c>
    </row>
    <row r="4">
      <c r="A4" s="10" t="s">
        <v>279</v>
      </c>
      <c r="B4" s="9" t="s">
        <v>280</v>
      </c>
      <c r="C4" s="9" t="s">
        <v>273</v>
      </c>
      <c r="D4" s="9" t="s">
        <v>281</v>
      </c>
      <c r="E4" s="9" t="s">
        <v>282</v>
      </c>
      <c r="F4" s="9" t="s">
        <v>283</v>
      </c>
      <c r="G4" s="8" t="s">
        <v>284</v>
      </c>
      <c r="H4" s="8" t="s">
        <v>284</v>
      </c>
      <c r="I4" s="8" t="s">
        <v>277</v>
      </c>
      <c r="J4" s="8" t="s">
        <v>285</v>
      </c>
      <c r="K4" s="9" t="s">
        <v>286</v>
      </c>
    </row>
    <row r="5">
      <c r="A5" s="10" t="s">
        <v>287</v>
      </c>
      <c r="B5" s="47" t="s">
        <v>288</v>
      </c>
      <c r="C5" s="9" t="s">
        <v>273</v>
      </c>
      <c r="D5" s="9" t="s">
        <v>289</v>
      </c>
      <c r="E5" s="9" t="s">
        <v>290</v>
      </c>
      <c r="F5" s="9" t="s">
        <v>291</v>
      </c>
      <c r="G5" s="8" t="s">
        <v>276</v>
      </c>
      <c r="H5" s="8" t="s">
        <v>276</v>
      </c>
      <c r="I5" s="8" t="s">
        <v>277</v>
      </c>
      <c r="J5" s="17" t="s">
        <v>174</v>
      </c>
      <c r="K5" s="9" t="s">
        <v>286</v>
      </c>
    </row>
    <row r="6">
      <c r="A6" s="53" t="s">
        <v>292</v>
      </c>
      <c r="B6" s="47" t="s">
        <v>293</v>
      </c>
      <c r="C6" s="9" t="s">
        <v>273</v>
      </c>
      <c r="D6" s="47" t="s">
        <v>294</v>
      </c>
      <c r="E6" s="9" t="s">
        <v>168</v>
      </c>
      <c r="F6" s="47" t="s">
        <v>295</v>
      </c>
      <c r="G6" s="8" t="s">
        <v>276</v>
      </c>
      <c r="H6" s="8" t="s">
        <v>276</v>
      </c>
      <c r="I6" s="8" t="s">
        <v>277</v>
      </c>
      <c r="J6" s="8" t="s">
        <v>296</v>
      </c>
      <c r="K6" s="9" t="s">
        <v>286</v>
      </c>
    </row>
    <row r="7">
      <c r="A7" s="10" t="s">
        <v>297</v>
      </c>
      <c r="B7" s="9" t="s">
        <v>298</v>
      </c>
      <c r="C7" s="9" t="s">
        <v>273</v>
      </c>
      <c r="D7" s="9" t="s">
        <v>299</v>
      </c>
      <c r="E7" s="9" t="s">
        <v>300</v>
      </c>
      <c r="F7" s="9" t="s">
        <v>301</v>
      </c>
      <c r="G7" s="8" t="s">
        <v>276</v>
      </c>
      <c r="H7" s="8" t="s">
        <v>276</v>
      </c>
      <c r="I7" s="8" t="s">
        <v>277</v>
      </c>
      <c r="J7" s="8" t="s">
        <v>302</v>
      </c>
      <c r="K7" s="9" t="s">
        <v>286</v>
      </c>
    </row>
    <row r="8">
      <c r="A8" s="10" t="s">
        <v>303</v>
      </c>
      <c r="B8" s="9" t="s">
        <v>304</v>
      </c>
      <c r="C8" s="9" t="s">
        <v>273</v>
      </c>
      <c r="D8" s="9" t="s">
        <v>305</v>
      </c>
      <c r="E8" s="9" t="s">
        <v>306</v>
      </c>
      <c r="F8" s="9" t="s">
        <v>307</v>
      </c>
      <c r="G8" s="8" t="s">
        <v>276</v>
      </c>
      <c r="H8" s="8" t="s">
        <v>276</v>
      </c>
      <c r="I8" s="8" t="s">
        <v>277</v>
      </c>
      <c r="J8" s="8" t="s">
        <v>308</v>
      </c>
      <c r="K8" s="9" t="s">
        <v>309</v>
      </c>
    </row>
    <row r="9">
      <c r="A9" s="10" t="s">
        <v>310</v>
      </c>
      <c r="B9" s="9" t="s">
        <v>311</v>
      </c>
      <c r="C9" s="9" t="s">
        <v>273</v>
      </c>
      <c r="D9" s="9" t="s">
        <v>312</v>
      </c>
      <c r="E9" s="9" t="s">
        <v>313</v>
      </c>
      <c r="F9" s="9" t="s">
        <v>314</v>
      </c>
      <c r="G9" s="8" t="s">
        <v>276</v>
      </c>
      <c r="H9" s="8" t="s">
        <v>276</v>
      </c>
      <c r="I9" s="8" t="s">
        <v>277</v>
      </c>
      <c r="J9" s="8" t="s">
        <v>315</v>
      </c>
      <c r="K9" s="9" t="s">
        <v>316</v>
      </c>
    </row>
    <row r="10">
      <c r="A10" s="10" t="s">
        <v>317</v>
      </c>
      <c r="B10" s="9" t="s">
        <v>318</v>
      </c>
      <c r="C10" s="9" t="s">
        <v>273</v>
      </c>
      <c r="D10" s="9" t="s">
        <v>319</v>
      </c>
      <c r="E10" s="9" t="s">
        <v>320</v>
      </c>
      <c r="F10" s="9" t="s">
        <v>321</v>
      </c>
      <c r="G10" s="8" t="s">
        <v>322</v>
      </c>
      <c r="H10" s="8" t="s">
        <v>322</v>
      </c>
      <c r="I10" s="8" t="s">
        <v>277</v>
      </c>
      <c r="J10" s="8" t="s">
        <v>159</v>
      </c>
      <c r="K10" s="9" t="s">
        <v>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G3:G10 H8">
    <cfRule type="cellIs" dxfId="4" priority="1" operator="equal">
      <formula>"Critical"</formula>
    </cfRule>
  </conditionalFormatting>
  <conditionalFormatting sqref="G3:G10 H8">
    <cfRule type="cellIs" dxfId="5" priority="2" operator="equal">
      <formula>"High"</formula>
    </cfRule>
  </conditionalFormatting>
  <conditionalFormatting sqref="G3:G10 H8">
    <cfRule type="cellIs" dxfId="6" priority="3" operator="equal">
      <formula>"Medium"</formula>
    </cfRule>
  </conditionalFormatting>
  <conditionalFormatting sqref="G3:G10 H8">
    <cfRule type="cellIs" dxfId="0" priority="4" operator="equal">
      <formula>"Low"</formula>
    </cfRule>
  </conditionalFormatting>
  <conditionalFormatting sqref="G3 H3:H10">
    <cfRule type="cellIs" dxfId="4" priority="5" operator="equal">
      <formula>"Critical"</formula>
    </cfRule>
  </conditionalFormatting>
  <conditionalFormatting sqref="G3 H3:H10">
    <cfRule type="cellIs" dxfId="5" priority="6" operator="equal">
      <formula>"High"</formula>
    </cfRule>
  </conditionalFormatting>
  <conditionalFormatting sqref="G3 H3:H10">
    <cfRule type="cellIs" dxfId="6" priority="7" operator="equal">
      <formula>"Medium"</formula>
    </cfRule>
  </conditionalFormatting>
  <conditionalFormatting sqref="G3 H3:H10">
    <cfRule type="cellIs" dxfId="0" priority="8" operator="equal">
      <formula>"Low"</formula>
    </cfRule>
  </conditionalFormatting>
  <conditionalFormatting sqref="I3:I10">
    <cfRule type="cellIs" dxfId="7" priority="9" operator="equal">
      <formula>"New"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3.0"/>
    <col customWidth="1" min="3" max="3" width="38.0"/>
    <col customWidth="1" min="4" max="4" width="3.0"/>
    <col customWidth="1" min="5" max="5" width="38.0"/>
    <col customWidth="1" min="6" max="26" width="8.71"/>
  </cols>
  <sheetData>
    <row r="1" ht="30.0" customHeight="1">
      <c r="A1" s="57" t="s">
        <v>323</v>
      </c>
      <c r="B1" s="2"/>
      <c r="C1" s="2"/>
      <c r="D1" s="2"/>
      <c r="E1" s="2"/>
      <c r="F1" s="2"/>
      <c r="G1" s="2"/>
      <c r="H1" s="2"/>
      <c r="I1" s="3"/>
    </row>
    <row r="3" ht="43.5" customHeight="1">
      <c r="A3" s="58" t="s">
        <v>324</v>
      </c>
      <c r="C3" s="58" t="s">
        <v>325</v>
      </c>
      <c r="E3" s="58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43.5" customHeight="1">
      <c r="A35" s="58" t="s">
        <v>327</v>
      </c>
      <c r="C35" s="58" t="s">
        <v>328</v>
      </c>
      <c r="E35" s="58" t="s">
        <v>329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43.5" customHeight="1">
      <c r="A67" s="58" t="s">
        <v>330</v>
      </c>
      <c r="C67" s="58" t="s">
        <v>331</v>
      </c>
      <c r="E67" s="58" t="s">
        <v>332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